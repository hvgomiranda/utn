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1"/>
  <workbookPr defaultThemeVersion="166925"/>
  <xr:revisionPtr revIDLastSave="0" documentId="8_{8718CBED-BC16-44C0-88A0-7D49C478E1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D59" i="1"/>
  <c r="C59" i="1"/>
  <c r="I58" i="1"/>
  <c r="I57" i="1"/>
  <c r="I56" i="1"/>
  <c r="I55" i="1"/>
  <c r="H58" i="1"/>
  <c r="H57" i="1"/>
  <c r="H56" i="1"/>
  <c r="H55" i="1"/>
  <c r="F58" i="1"/>
  <c r="F57" i="1"/>
  <c r="F56" i="1"/>
  <c r="F55" i="1"/>
  <c r="B50" i="1"/>
  <c r="B49" i="1"/>
  <c r="E45" i="1"/>
  <c r="D45" i="1"/>
  <c r="C45" i="1"/>
  <c r="B45" i="1"/>
  <c r="E43" i="1"/>
  <c r="D43" i="1"/>
  <c r="C43" i="1"/>
  <c r="B43" i="1"/>
  <c r="E38" i="1"/>
  <c r="D38" i="1"/>
  <c r="C38" i="1"/>
  <c r="B38" i="1"/>
  <c r="E37" i="1"/>
  <c r="D37" i="1"/>
  <c r="C37" i="1"/>
  <c r="B37" i="1"/>
  <c r="E36" i="1"/>
  <c r="D36" i="1"/>
  <c r="C36" i="1"/>
  <c r="B36" i="1"/>
  <c r="G45" i="1"/>
  <c r="G42" i="1"/>
  <c r="G41" i="1"/>
  <c r="G40" i="1"/>
  <c r="G38" i="1"/>
  <c r="G37" i="1"/>
  <c r="G36" i="1"/>
  <c r="G35" i="1"/>
  <c r="F45" i="1"/>
  <c r="F42" i="1"/>
  <c r="F41" i="1"/>
  <c r="F40" i="1"/>
  <c r="F38" i="1"/>
  <c r="F37" i="1"/>
  <c r="F36" i="1"/>
  <c r="F35" i="1"/>
  <c r="D26" i="1"/>
  <c r="E26" i="1"/>
  <c r="D27" i="1"/>
  <c r="E27" i="1"/>
  <c r="D28" i="1"/>
  <c r="E28" i="1"/>
  <c r="D29" i="1"/>
  <c r="E29" i="1"/>
  <c r="D30" i="1"/>
  <c r="E30" i="1"/>
  <c r="E25" i="1"/>
  <c r="D25" i="1"/>
  <c r="C30" i="1"/>
  <c r="C29" i="1"/>
  <c r="C28" i="1"/>
  <c r="C27" i="1"/>
  <c r="C26" i="1"/>
  <c r="C25" i="1"/>
  <c r="G11" i="1"/>
  <c r="G12" i="1"/>
  <c r="G13" i="1"/>
  <c r="G14" i="1"/>
  <c r="G15" i="1"/>
  <c r="G16" i="1"/>
  <c r="G17" i="1"/>
  <c r="G18" i="1"/>
  <c r="G19" i="1"/>
  <c r="G10" i="1"/>
  <c r="C21" i="1"/>
  <c r="C20" i="1"/>
  <c r="B5" i="1"/>
  <c r="B6" i="1" s="1"/>
  <c r="C4" i="1"/>
  <c r="C5" i="1" l="1"/>
  <c r="C6" i="1" s="1"/>
  <c r="D4" i="1"/>
  <c r="D5" i="1" l="1"/>
  <c r="D6" i="1" s="1"/>
  <c r="E4" i="1"/>
  <c r="F4" i="1"/>
  <c r="F5" i="1" s="1"/>
  <c r="F6" i="1" s="1"/>
  <c r="E5" i="1" l="1"/>
  <c r="E6" i="1" s="1"/>
</calcChain>
</file>

<file path=xl/sharedStrings.xml><?xml version="1.0" encoding="utf-8"?>
<sst xmlns="http://schemas.openxmlformats.org/spreadsheetml/2006/main" count="137" uniqueCount="90">
  <si>
    <t>Ejercicio 1</t>
  </si>
  <si>
    <t>MAYO</t>
  </si>
  <si>
    <t>JUNIO</t>
  </si>
  <si>
    <t>JULIO</t>
  </si>
  <si>
    <t>AGOSTO</t>
  </si>
  <si>
    <t>TOTAL</t>
  </si>
  <si>
    <t>Coeficiente de inflación</t>
  </si>
  <si>
    <t>Ventas</t>
  </si>
  <si>
    <t>Costo</t>
  </si>
  <si>
    <t>Margen</t>
  </si>
  <si>
    <t>Ejercicio 2</t>
  </si>
  <si>
    <t>NOMBRE</t>
  </si>
  <si>
    <t>APELLIDO</t>
  </si>
  <si>
    <t>ALTURA</t>
  </si>
  <si>
    <t>FECHA DE NACIMIENTO</t>
  </si>
  <si>
    <t>SUELDO</t>
  </si>
  <si>
    <t>% PREMIO</t>
  </si>
  <si>
    <t>SUELDO A COBRAR</t>
  </si>
  <si>
    <t>Hugo</t>
  </si>
  <si>
    <t>Miranda</t>
  </si>
  <si>
    <t>Pedro</t>
  </si>
  <si>
    <t>Páramo</t>
  </si>
  <si>
    <t>Malena</t>
  </si>
  <si>
    <t>Beltrán</t>
  </si>
  <si>
    <t>Francisco</t>
  </si>
  <si>
    <t>Quevedo</t>
  </si>
  <si>
    <t>Juan</t>
  </si>
  <si>
    <t>Borges</t>
  </si>
  <si>
    <t>Federico</t>
  </si>
  <si>
    <t>Rulfo</t>
  </si>
  <si>
    <t>Ricardo</t>
  </si>
  <si>
    <t>Norris</t>
  </si>
  <si>
    <t>Dante</t>
  </si>
  <si>
    <t>Fazio</t>
  </si>
  <si>
    <t>Vicente</t>
  </si>
  <si>
    <t>Urdapilleta</t>
  </si>
  <si>
    <t>Juana</t>
  </si>
  <si>
    <t>Azurduy</t>
  </si>
  <si>
    <t>Altura promedio</t>
  </si>
  <si>
    <t>Altura máxima</t>
  </si>
  <si>
    <t>Ejercicio 3</t>
  </si>
  <si>
    <t>Título</t>
  </si>
  <si>
    <t>Página</t>
  </si>
  <si>
    <t>Costo por página</t>
  </si>
  <si>
    <t>Ganancia</t>
  </si>
  <si>
    <t>Precio</t>
  </si>
  <si>
    <t>Todos   teníamos   veinte os</t>
  </si>
  <si>
    <t>Retrato de un pescador</t>
  </si>
  <si>
    <t>Entrevista</t>
  </si>
  <si>
    <t>Opiniones de un payaso</t>
  </si>
  <si>
    <t>El pan del día</t>
  </si>
  <si>
    <t>Cómo estar bien</t>
  </si>
  <si>
    <t>Ejercicio 4</t>
  </si>
  <si>
    <t>La Castellana</t>
  </si>
  <si>
    <t>Trimestre 1</t>
  </si>
  <si>
    <t>Trimestre 2</t>
  </si>
  <si>
    <t>Trimestre 3</t>
  </si>
  <si>
    <t>Trimestre 4</t>
  </si>
  <si>
    <t>Total anual</t>
  </si>
  <si>
    <t>Promedio anual</t>
  </si>
  <si>
    <t>Unidades vendidas</t>
  </si>
  <si>
    <t>Ingresos por ventas</t>
  </si>
  <si>
    <t>Costo de las ventas</t>
  </si>
  <si>
    <t>Margen bruto</t>
  </si>
  <si>
    <t xml:space="preserve">
</t>
  </si>
  <si>
    <t>Personal ventas</t>
  </si>
  <si>
    <t>Publicidad</t>
  </si>
  <si>
    <t>Costos fijos</t>
  </si>
  <si>
    <t>Costo total</t>
  </si>
  <si>
    <t>Beneficio neto</t>
  </si>
  <si>
    <t>Precio del producto</t>
  </si>
  <si>
    <t>Costo del producto</t>
  </si>
  <si>
    <t>Mayor importe de Costos Fijos</t>
  </si>
  <si>
    <t>Menor beneficio neto</t>
  </si>
  <si>
    <t>Ejercicio 5</t>
  </si>
  <si>
    <t>Stock de artículo</t>
  </si>
  <si>
    <t>Código</t>
  </si>
  <si>
    <t>Descrip.</t>
  </si>
  <si>
    <t>Dep. A</t>
  </si>
  <si>
    <t>Dep. B</t>
  </si>
  <si>
    <t>Dep. C</t>
  </si>
  <si>
    <t>Total</t>
  </si>
  <si>
    <t>Mínimo</t>
  </si>
  <si>
    <t>Comprar</t>
  </si>
  <si>
    <t>Promedio</t>
  </si>
  <si>
    <t>Arandela</t>
  </si>
  <si>
    <t>Tuerca</t>
  </si>
  <si>
    <t> </t>
  </si>
  <si>
    <t>Tornillo</t>
  </si>
  <si>
    <t>Tenaza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</si>
</sst>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dd\-mm\-yy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454545"/>
      <name val="Calibri"/>
      <scheme val="minor"/>
    </font>
    <font>
      <sz val="11"/>
      <color rgb="FF000000"/>
      <name val="Times New Roman"/>
    </font>
    <font>
      <sz val="16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9" fontId="0" fillId="0" borderId="1" xfId="0" applyNumberFormat="1" applyBorder="1"/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readingOrder="1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2" borderId="1" xfId="0" applyFont="1" applyFill="1" applyBorder="1" applyAlignment="1">
      <alignment vertical="center" readingOrder="1"/>
    </xf>
    <xf numFmtId="3" fontId="2" fillId="2" borderId="1" xfId="0" applyNumberFormat="1" applyFont="1" applyFill="1" applyBorder="1" applyAlignment="1">
      <alignment vertical="center" readingOrder="1"/>
    </xf>
    <xf numFmtId="3" fontId="3" fillId="2" borderId="1" xfId="0" applyNumberFormat="1" applyFont="1" applyFill="1" applyBorder="1" applyAlignment="1">
      <alignment vertical="center" readingOrder="1"/>
    </xf>
    <xf numFmtId="0" fontId="1" fillId="2" borderId="1" xfId="0" applyFont="1" applyFill="1" applyBorder="1" applyAlignment="1">
      <alignment vertical="center" wrapText="1" readingOrder="1"/>
    </xf>
    <xf numFmtId="164" fontId="2" fillId="2" borderId="1" xfId="0" applyNumberFormat="1" applyFont="1" applyFill="1" applyBorder="1" applyAlignment="1">
      <alignment vertical="center" readingOrder="1"/>
    </xf>
    <xf numFmtId="164" fontId="3" fillId="2" borderId="1" xfId="0" applyNumberFormat="1" applyFont="1" applyFill="1" applyBorder="1" applyAlignment="1">
      <alignment vertical="center" readingOrder="1"/>
    </xf>
    <xf numFmtId="164" fontId="1" fillId="2" borderId="1" xfId="0" applyNumberFormat="1" applyFont="1" applyFill="1" applyBorder="1" applyAlignment="1">
      <alignment vertical="center" wrapText="1" readingOrder="1"/>
    </xf>
    <xf numFmtId="164" fontId="2" fillId="2" borderId="1" xfId="0" applyNumberFormat="1" applyFont="1" applyFill="1" applyBorder="1" applyAlignment="1">
      <alignment horizontal="right" vertical="center" readingOrder="1"/>
    </xf>
    <xf numFmtId="0" fontId="4" fillId="0" borderId="1" xfId="0" applyFont="1" applyBorder="1" applyAlignment="1">
      <alignment readingOrder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52" workbookViewId="0">
      <selection activeCell="D59" sqref="D59:E59"/>
    </sheetView>
  </sheetViews>
  <sheetFormatPr defaultRowHeight="15"/>
  <cols>
    <col min="1" max="1" width="25.28515625" customWidth="1"/>
    <col min="2" max="2" width="14.7109375" customWidth="1"/>
    <col min="3" max="3" width="18.7109375" customWidth="1"/>
    <col min="4" max="4" width="24.7109375" customWidth="1"/>
    <col min="5" max="5" width="13.7109375" bestFit="1" customWidth="1"/>
    <col min="6" max="6" width="15.42578125" customWidth="1"/>
    <col min="7" max="7" width="17.140625" customWidth="1"/>
  </cols>
  <sheetData>
    <row r="1" spans="1:7">
      <c r="A1" s="5" t="s">
        <v>0</v>
      </c>
      <c r="B1" s="5"/>
      <c r="C1" s="5"/>
      <c r="D1" s="5"/>
      <c r="E1" s="5"/>
      <c r="F1" s="5"/>
    </row>
    <row r="2" spans="1:7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>
      <c r="A3" s="1" t="s">
        <v>6</v>
      </c>
      <c r="B3" s="1"/>
      <c r="C3" s="3">
        <v>0.25</v>
      </c>
      <c r="D3" s="3">
        <v>0.3</v>
      </c>
      <c r="E3" s="3">
        <v>0.35</v>
      </c>
      <c r="F3" s="1"/>
    </row>
    <row r="4" spans="1:7">
      <c r="A4" s="1" t="s">
        <v>7</v>
      </c>
      <c r="B4" s="4">
        <v>230000</v>
      </c>
      <c r="C4" s="4">
        <f>SUM(B4,B4*C3)</f>
        <v>287500</v>
      </c>
      <c r="D4" s="4">
        <f>SUM(C4,C4*D3)</f>
        <v>373750</v>
      </c>
      <c r="E4" s="4">
        <f>SUM(D4,D4*E3)</f>
        <v>504562.5</v>
      </c>
      <c r="F4" s="4">
        <f>SUM(B4:E4)</f>
        <v>1395812.5</v>
      </c>
    </row>
    <row r="5" spans="1:7">
      <c r="A5" s="1" t="s">
        <v>8</v>
      </c>
      <c r="B5" s="4">
        <f>SUM(B4*0.4)</f>
        <v>92000</v>
      </c>
      <c r="C5" s="4">
        <f t="shared" ref="C5:F5" si="0">SUM(C4*0.4)</f>
        <v>115000</v>
      </c>
      <c r="D5" s="4">
        <f t="shared" si="0"/>
        <v>149500</v>
      </c>
      <c r="E5" s="4">
        <f t="shared" si="0"/>
        <v>201825</v>
      </c>
      <c r="F5" s="4">
        <f t="shared" si="0"/>
        <v>558325</v>
      </c>
    </row>
    <row r="6" spans="1:7">
      <c r="A6" s="1" t="s">
        <v>9</v>
      </c>
      <c r="B6" s="4">
        <f>SUM(B4-B5)</f>
        <v>138000</v>
      </c>
      <c r="C6" s="4">
        <f>SUM(C4-C5)</f>
        <v>172500</v>
      </c>
      <c r="D6" s="4">
        <f>SUM(D4-D5)</f>
        <v>224250</v>
      </c>
      <c r="E6" s="4">
        <f>SUM(E4-E5)</f>
        <v>302737.5</v>
      </c>
      <c r="F6" s="4">
        <f>SUM(F4-F5)</f>
        <v>837487.5</v>
      </c>
    </row>
    <row r="8" spans="1:7">
      <c r="A8" s="12" t="s">
        <v>10</v>
      </c>
      <c r="B8" s="12"/>
      <c r="C8" s="12"/>
      <c r="D8" s="12"/>
      <c r="E8" s="12"/>
      <c r="F8" s="12"/>
      <c r="G8" s="12"/>
    </row>
    <row r="9" spans="1:7">
      <c r="A9" s="1" t="s">
        <v>11</v>
      </c>
      <c r="B9" s="1" t="s">
        <v>12</v>
      </c>
      <c r="C9" s="1" t="s">
        <v>13</v>
      </c>
      <c r="D9" s="1" t="s">
        <v>14</v>
      </c>
      <c r="E9" s="9" t="s">
        <v>15</v>
      </c>
      <c r="F9" s="1" t="s">
        <v>16</v>
      </c>
      <c r="G9" s="1" t="s">
        <v>17</v>
      </c>
    </row>
    <row r="10" spans="1:7">
      <c r="A10" s="6" t="s">
        <v>18</v>
      </c>
      <c r="B10" s="6" t="s">
        <v>19</v>
      </c>
      <c r="C10" s="8">
        <v>1.68</v>
      </c>
      <c r="D10" s="7">
        <v>33983</v>
      </c>
      <c r="E10" s="10">
        <v>230000</v>
      </c>
      <c r="F10" s="3">
        <v>0.1</v>
      </c>
      <c r="G10" s="4">
        <f>SUM(E10+E10*F10)</f>
        <v>253000</v>
      </c>
    </row>
    <row r="11" spans="1:7">
      <c r="A11" s="6" t="s">
        <v>20</v>
      </c>
      <c r="B11" s="6" t="s">
        <v>21</v>
      </c>
      <c r="C11" s="1">
        <v>1.8</v>
      </c>
      <c r="D11" s="7">
        <v>33815</v>
      </c>
      <c r="E11" s="10">
        <v>89000</v>
      </c>
      <c r="F11" s="3">
        <v>0.2</v>
      </c>
      <c r="G11" s="4">
        <f t="shared" ref="G11:G19" si="1">SUM(E11+E11*F11)</f>
        <v>106800</v>
      </c>
    </row>
    <row r="12" spans="1:7">
      <c r="A12" s="6" t="s">
        <v>22</v>
      </c>
      <c r="B12" s="6" t="s">
        <v>23</v>
      </c>
      <c r="C12" s="1">
        <v>1.55</v>
      </c>
      <c r="D12" s="7">
        <v>33401</v>
      </c>
      <c r="E12" s="10">
        <v>167000</v>
      </c>
      <c r="F12" s="3">
        <v>0</v>
      </c>
      <c r="G12" s="4">
        <f t="shared" si="1"/>
        <v>167000</v>
      </c>
    </row>
    <row r="13" spans="1:7">
      <c r="A13" s="6" t="s">
        <v>24</v>
      </c>
      <c r="B13" s="6" t="s">
        <v>25</v>
      </c>
      <c r="C13" s="1">
        <v>1.67</v>
      </c>
      <c r="D13" s="7">
        <v>33939</v>
      </c>
      <c r="E13" s="10">
        <v>143500</v>
      </c>
      <c r="F13" s="3">
        <v>0.3</v>
      </c>
      <c r="G13" s="4">
        <f t="shared" si="1"/>
        <v>186550</v>
      </c>
    </row>
    <row r="14" spans="1:7">
      <c r="A14" s="6" t="s">
        <v>26</v>
      </c>
      <c r="B14" s="6" t="s">
        <v>27</v>
      </c>
      <c r="C14" s="1">
        <v>1.75</v>
      </c>
      <c r="D14" s="7">
        <v>34310</v>
      </c>
      <c r="E14" s="10">
        <v>657000</v>
      </c>
      <c r="F14" s="3">
        <v>0.22</v>
      </c>
      <c r="G14" s="4">
        <f t="shared" si="1"/>
        <v>801540</v>
      </c>
    </row>
    <row r="15" spans="1:7">
      <c r="A15" s="6" t="s">
        <v>28</v>
      </c>
      <c r="B15" s="6" t="s">
        <v>29</v>
      </c>
      <c r="C15" s="1">
        <v>1.72</v>
      </c>
      <c r="D15" s="7">
        <v>34486</v>
      </c>
      <c r="E15" s="10">
        <v>345770</v>
      </c>
      <c r="F15" s="3">
        <v>0.4</v>
      </c>
      <c r="G15" s="4">
        <f t="shared" si="1"/>
        <v>484078</v>
      </c>
    </row>
    <row r="16" spans="1:7">
      <c r="A16" s="6" t="s">
        <v>30</v>
      </c>
      <c r="B16" s="6" t="s">
        <v>31</v>
      </c>
      <c r="C16" s="1">
        <v>1.7</v>
      </c>
      <c r="D16" s="7">
        <v>34522</v>
      </c>
      <c r="E16" s="10">
        <v>165000</v>
      </c>
      <c r="F16" s="3">
        <v>0.1</v>
      </c>
      <c r="G16" s="4">
        <f t="shared" si="1"/>
        <v>181500</v>
      </c>
    </row>
    <row r="17" spans="1:7">
      <c r="A17" s="6" t="s">
        <v>32</v>
      </c>
      <c r="B17" s="6" t="s">
        <v>33</v>
      </c>
      <c r="C17" s="1">
        <v>1.83</v>
      </c>
      <c r="D17" s="7">
        <v>34613</v>
      </c>
      <c r="E17" s="10">
        <v>230000</v>
      </c>
      <c r="F17" s="3">
        <v>0.15</v>
      </c>
      <c r="G17" s="4">
        <f t="shared" si="1"/>
        <v>264500</v>
      </c>
    </row>
    <row r="18" spans="1:7">
      <c r="A18" s="6" t="s">
        <v>34</v>
      </c>
      <c r="B18" s="6" t="s">
        <v>35</v>
      </c>
      <c r="C18" s="1">
        <v>1.63</v>
      </c>
      <c r="D18" s="7">
        <v>34016</v>
      </c>
      <c r="E18" s="10">
        <v>230000</v>
      </c>
      <c r="F18" s="3">
        <v>7.0000000000000007E-2</v>
      </c>
      <c r="G18" s="4">
        <f t="shared" si="1"/>
        <v>246100</v>
      </c>
    </row>
    <row r="19" spans="1:7">
      <c r="A19" s="6" t="s">
        <v>36</v>
      </c>
      <c r="B19" s="11" t="s">
        <v>37</v>
      </c>
      <c r="C19" s="2">
        <v>1.78</v>
      </c>
      <c r="D19" s="7">
        <v>33913</v>
      </c>
      <c r="E19" s="10">
        <v>165000</v>
      </c>
      <c r="F19" s="3">
        <v>0</v>
      </c>
      <c r="G19" s="4">
        <f t="shared" si="1"/>
        <v>165000</v>
      </c>
    </row>
    <row r="20" spans="1:7">
      <c r="B20" s="1" t="s">
        <v>38</v>
      </c>
      <c r="C20" s="8">
        <f>AVERAGE(C10:C19)</f>
        <v>1.7109999999999999</v>
      </c>
    </row>
    <row r="21" spans="1:7">
      <c r="B21" s="1" t="s">
        <v>39</v>
      </c>
      <c r="C21" s="8">
        <f>MAX(C10:C19)</f>
        <v>1.83</v>
      </c>
    </row>
    <row r="23" spans="1:7">
      <c r="A23" s="12" t="s">
        <v>40</v>
      </c>
      <c r="B23" s="12"/>
      <c r="C23" s="12"/>
      <c r="D23" s="12"/>
      <c r="E23" s="12"/>
    </row>
    <row r="24" spans="1:7">
      <c r="A24" s="14" t="s">
        <v>41</v>
      </c>
      <c r="B24" s="14" t="s">
        <v>42</v>
      </c>
      <c r="C24" s="14" t="s">
        <v>43</v>
      </c>
      <c r="D24" s="15" t="s">
        <v>44</v>
      </c>
      <c r="E24" s="1" t="s">
        <v>45</v>
      </c>
    </row>
    <row r="25" spans="1:7">
      <c r="A25" s="13" t="s">
        <v>46</v>
      </c>
      <c r="B25" s="1">
        <v>201</v>
      </c>
      <c r="C25" s="1">
        <f>SUM((B25*0.5)*1.1/B25)</f>
        <v>0.55000000000000004</v>
      </c>
      <c r="D25" s="9">
        <f>SUM((B25*0.5)*1.1*0.5)</f>
        <v>55.275000000000006</v>
      </c>
      <c r="E25" s="1">
        <f>SUM((B25*C25)+D25)</f>
        <v>165.82500000000002</v>
      </c>
    </row>
    <row r="26" spans="1:7">
      <c r="A26" s="13" t="s">
        <v>47</v>
      </c>
      <c r="B26" s="1">
        <v>304</v>
      </c>
      <c r="C26" s="1">
        <f t="shared" ref="C26:C30" si="2">SUM((B26*0.5)*1.1/B26)</f>
        <v>0.55000000000000004</v>
      </c>
      <c r="D26" s="9">
        <f t="shared" ref="D26:D30" si="3">SUM((B26*0.5)*1.1*0.5)</f>
        <v>83.600000000000009</v>
      </c>
      <c r="E26" s="1">
        <f t="shared" ref="E26:E30" si="4">SUM((B26*C26)+D26)</f>
        <v>250.8</v>
      </c>
    </row>
    <row r="27" spans="1:7">
      <c r="A27" s="13" t="s">
        <v>48</v>
      </c>
      <c r="B27" s="1">
        <v>158</v>
      </c>
      <c r="C27" s="1">
        <f t="shared" si="2"/>
        <v>0.55000000000000004</v>
      </c>
      <c r="D27" s="9">
        <f t="shared" si="3"/>
        <v>43.45</v>
      </c>
      <c r="E27" s="1">
        <f t="shared" si="4"/>
        <v>130.35000000000002</v>
      </c>
    </row>
    <row r="28" spans="1:7">
      <c r="A28" s="13" t="s">
        <v>49</v>
      </c>
      <c r="B28" s="1">
        <v>209</v>
      </c>
      <c r="C28" s="1">
        <f t="shared" si="2"/>
        <v>0.55000000000000004</v>
      </c>
      <c r="D28" s="9">
        <f t="shared" si="3"/>
        <v>57.475000000000001</v>
      </c>
      <c r="E28" s="1">
        <f t="shared" si="4"/>
        <v>172.42500000000001</v>
      </c>
    </row>
    <row r="29" spans="1:7">
      <c r="A29" s="13" t="s">
        <v>50</v>
      </c>
      <c r="B29" s="1">
        <v>65</v>
      </c>
      <c r="C29" s="1">
        <f t="shared" si="2"/>
        <v>0.55000000000000004</v>
      </c>
      <c r="D29" s="9">
        <f t="shared" si="3"/>
        <v>17.875</v>
      </c>
      <c r="E29" s="1">
        <f t="shared" si="4"/>
        <v>53.625</v>
      </c>
    </row>
    <row r="30" spans="1:7">
      <c r="A30" s="13" t="s">
        <v>51</v>
      </c>
      <c r="B30" s="1">
        <v>152</v>
      </c>
      <c r="C30" s="1">
        <f t="shared" si="2"/>
        <v>0.55000000000000004</v>
      </c>
      <c r="D30" s="9">
        <f t="shared" si="3"/>
        <v>41.800000000000004</v>
      </c>
      <c r="E30" s="1">
        <f t="shared" si="4"/>
        <v>125.4</v>
      </c>
    </row>
    <row r="32" spans="1:7">
      <c r="A32" s="16" t="s">
        <v>52</v>
      </c>
      <c r="B32" s="16"/>
      <c r="C32" s="16"/>
      <c r="D32" s="16"/>
      <c r="E32" s="16"/>
      <c r="F32" s="16"/>
      <c r="G32" s="16"/>
    </row>
    <row r="33" spans="1:7">
      <c r="A33" s="17" t="s">
        <v>53</v>
      </c>
      <c r="B33" s="17"/>
      <c r="C33" s="17"/>
      <c r="D33" s="17"/>
      <c r="E33" s="17"/>
      <c r="F33" s="17"/>
      <c r="G33" s="17"/>
    </row>
    <row r="34" spans="1:7">
      <c r="A34" s="18"/>
      <c r="B34" s="18" t="s">
        <v>54</v>
      </c>
      <c r="C34" s="18" t="s">
        <v>55</v>
      </c>
      <c r="D34" s="18" t="s">
        <v>56</v>
      </c>
      <c r="E34" s="18" t="s">
        <v>57</v>
      </c>
      <c r="F34" s="18" t="s">
        <v>58</v>
      </c>
      <c r="G34" s="18" t="s">
        <v>59</v>
      </c>
    </row>
    <row r="35" spans="1:7">
      <c r="A35" s="19" t="s">
        <v>60</v>
      </c>
      <c r="B35" s="20">
        <v>3592</v>
      </c>
      <c r="C35" s="20">
        <v>4390</v>
      </c>
      <c r="D35" s="21">
        <v>3192</v>
      </c>
      <c r="E35" s="20">
        <v>4789</v>
      </c>
      <c r="F35" s="20">
        <f>SUM(B35:E35)</f>
        <v>15963</v>
      </c>
      <c r="G35" s="20">
        <f>AVERAGE(B35:E35)</f>
        <v>3990.75</v>
      </c>
    </row>
    <row r="36" spans="1:7">
      <c r="A36" s="19" t="s">
        <v>61</v>
      </c>
      <c r="B36" s="23">
        <f>SUM(B47*B35)</f>
        <v>143680</v>
      </c>
      <c r="C36" s="23">
        <f>SUM(B47*C35)</f>
        <v>175600</v>
      </c>
      <c r="D36" s="23">
        <f>SUM(B47*D35)</f>
        <v>127680</v>
      </c>
      <c r="E36" s="23">
        <f>SUM(B47*E35)</f>
        <v>191560</v>
      </c>
      <c r="F36" s="23">
        <f t="shared" ref="F36:F45" si="5">SUM(B36:E36)</f>
        <v>638520</v>
      </c>
      <c r="G36" s="23">
        <f t="shared" ref="G36:G38" si="6">AVERAGE(B36:E36)</f>
        <v>159630</v>
      </c>
    </row>
    <row r="37" spans="1:7">
      <c r="A37" s="19" t="s">
        <v>62</v>
      </c>
      <c r="B37" s="23">
        <f>SUM(B48*B35)</f>
        <v>89800</v>
      </c>
      <c r="C37" s="23">
        <f>SUM(B48*C35)</f>
        <v>109750</v>
      </c>
      <c r="D37" s="23">
        <f>SUM(B48*D35)</f>
        <v>79800</v>
      </c>
      <c r="E37" s="23">
        <f>SUM(B48*E35)</f>
        <v>119725</v>
      </c>
      <c r="F37" s="23">
        <f t="shared" si="5"/>
        <v>399075</v>
      </c>
      <c r="G37" s="23">
        <f t="shared" si="6"/>
        <v>99768.75</v>
      </c>
    </row>
    <row r="38" spans="1:7">
      <c r="A38" s="19" t="s">
        <v>63</v>
      </c>
      <c r="B38" s="23">
        <f>SUM(B36-B37)</f>
        <v>53880</v>
      </c>
      <c r="C38" s="23">
        <f t="shared" ref="C38:E38" si="7">SUM(C36-C37)</f>
        <v>65850</v>
      </c>
      <c r="D38" s="23">
        <f t="shared" si="7"/>
        <v>47880</v>
      </c>
      <c r="E38" s="23">
        <f t="shared" si="7"/>
        <v>71835</v>
      </c>
      <c r="F38" s="23">
        <f t="shared" si="5"/>
        <v>239445</v>
      </c>
      <c r="G38" s="23">
        <f t="shared" si="6"/>
        <v>59861.25</v>
      </c>
    </row>
    <row r="39" spans="1:7" ht="12" customHeight="1">
      <c r="A39" s="22" t="s">
        <v>64</v>
      </c>
      <c r="B39" s="22" t="s">
        <v>64</v>
      </c>
      <c r="C39" s="22" t="s">
        <v>64</v>
      </c>
      <c r="D39" s="22" t="s">
        <v>64</v>
      </c>
      <c r="E39" s="22" t="s">
        <v>64</v>
      </c>
      <c r="F39" s="20"/>
      <c r="G39" s="22" t="s">
        <v>64</v>
      </c>
    </row>
    <row r="40" spans="1:7">
      <c r="A40" s="19" t="s">
        <v>65</v>
      </c>
      <c r="B40" s="23">
        <v>8000</v>
      </c>
      <c r="C40" s="23">
        <v>8000</v>
      </c>
      <c r="D40" s="23">
        <v>9000</v>
      </c>
      <c r="E40" s="23">
        <v>9000</v>
      </c>
      <c r="F40" s="23">
        <f t="shared" si="5"/>
        <v>34000</v>
      </c>
      <c r="G40" s="23">
        <f t="shared" ref="G40:G42" si="8">AVERAGE(B40:E40)</f>
        <v>8500</v>
      </c>
    </row>
    <row r="41" spans="1:7">
      <c r="A41" s="19" t="s">
        <v>66</v>
      </c>
      <c r="B41" s="23">
        <v>10000</v>
      </c>
      <c r="C41" s="23">
        <v>10000</v>
      </c>
      <c r="D41" s="23">
        <v>10000</v>
      </c>
      <c r="E41" s="23">
        <v>10000</v>
      </c>
      <c r="F41" s="23">
        <f t="shared" si="5"/>
        <v>40000</v>
      </c>
      <c r="G41" s="23">
        <f t="shared" si="8"/>
        <v>10000</v>
      </c>
    </row>
    <row r="42" spans="1:7">
      <c r="A42" s="19" t="s">
        <v>67</v>
      </c>
      <c r="B42" s="26">
        <v>21549</v>
      </c>
      <c r="C42" s="24">
        <v>26338</v>
      </c>
      <c r="D42" s="23">
        <v>19155</v>
      </c>
      <c r="E42" s="24">
        <v>28732</v>
      </c>
      <c r="F42" s="23">
        <f t="shared" si="5"/>
        <v>95774</v>
      </c>
      <c r="G42" s="23">
        <f t="shared" si="8"/>
        <v>23943.5</v>
      </c>
    </row>
    <row r="43" spans="1:7" ht="21" customHeight="1">
      <c r="A43" s="19" t="s">
        <v>68</v>
      </c>
      <c r="B43" s="23">
        <f>SUM(B40+B41+B42)</f>
        <v>39549</v>
      </c>
      <c r="C43" s="23">
        <f t="shared" ref="C43:E43" si="9">SUM(C40+C41+C42)</f>
        <v>44338</v>
      </c>
      <c r="D43" s="23">
        <f t="shared" si="9"/>
        <v>38155</v>
      </c>
      <c r="E43" s="23">
        <f t="shared" si="9"/>
        <v>47732</v>
      </c>
      <c r="F43" s="23"/>
      <c r="G43" s="25" t="s">
        <v>64</v>
      </c>
    </row>
    <row r="44" spans="1:7" ht="11.25" customHeight="1">
      <c r="A44" s="22" t="s">
        <v>64</v>
      </c>
      <c r="B44" s="22" t="s">
        <v>64</v>
      </c>
      <c r="C44" s="22" t="s">
        <v>64</v>
      </c>
      <c r="D44" s="22" t="s">
        <v>64</v>
      </c>
      <c r="E44" s="22" t="s">
        <v>64</v>
      </c>
      <c r="F44" s="20"/>
      <c r="G44" s="22" t="s">
        <v>64</v>
      </c>
    </row>
    <row r="45" spans="1:7" ht="24.75" customHeight="1">
      <c r="A45" s="19" t="s">
        <v>69</v>
      </c>
      <c r="B45" s="23">
        <f>SUM(B38-B43)</f>
        <v>14331</v>
      </c>
      <c r="C45" s="23">
        <f t="shared" ref="C45:E45" si="10">SUM(C38-C43)</f>
        <v>21512</v>
      </c>
      <c r="D45" s="23">
        <f t="shared" si="10"/>
        <v>9725</v>
      </c>
      <c r="E45" s="23">
        <f t="shared" si="10"/>
        <v>24103</v>
      </c>
      <c r="F45" s="23">
        <f t="shared" si="5"/>
        <v>69671</v>
      </c>
      <c r="G45" s="23">
        <f>AVERAGE(B45:E45)</f>
        <v>17417.75</v>
      </c>
    </row>
    <row r="46" spans="1:7" ht="11.25" customHeight="1">
      <c r="A46" s="22" t="s">
        <v>64</v>
      </c>
      <c r="B46" s="22" t="s">
        <v>64</v>
      </c>
      <c r="C46" s="22" t="s">
        <v>64</v>
      </c>
      <c r="D46" s="22" t="s">
        <v>64</v>
      </c>
      <c r="E46" s="22" t="s">
        <v>64</v>
      </c>
      <c r="F46" s="22" t="s">
        <v>64</v>
      </c>
      <c r="G46" s="22" t="s">
        <v>64</v>
      </c>
    </row>
    <row r="47" spans="1:7" ht="30.75">
      <c r="A47" s="19" t="s">
        <v>70</v>
      </c>
      <c r="B47" s="19">
        <v>40</v>
      </c>
      <c r="C47" s="22" t="s">
        <v>64</v>
      </c>
      <c r="D47" s="22" t="s">
        <v>64</v>
      </c>
      <c r="E47" s="22" t="s">
        <v>64</v>
      </c>
      <c r="F47" s="22" t="s">
        <v>64</v>
      </c>
      <c r="G47" s="22" t="s">
        <v>64</v>
      </c>
    </row>
    <row r="48" spans="1:7" ht="30.75">
      <c r="A48" s="19" t="s">
        <v>71</v>
      </c>
      <c r="B48" s="19">
        <v>25</v>
      </c>
      <c r="C48" s="22" t="s">
        <v>64</v>
      </c>
      <c r="D48" s="22" t="s">
        <v>64</v>
      </c>
      <c r="E48" s="22" t="s">
        <v>64</v>
      </c>
      <c r="F48" s="22" t="s">
        <v>64</v>
      </c>
      <c r="G48" s="22" t="s">
        <v>64</v>
      </c>
    </row>
    <row r="49" spans="1:9" ht="30.75">
      <c r="A49" s="19" t="s">
        <v>72</v>
      </c>
      <c r="B49" s="23">
        <f>MAX(B42:E42)</f>
        <v>28732</v>
      </c>
      <c r="C49" s="22" t="s">
        <v>64</v>
      </c>
      <c r="D49" s="22" t="s">
        <v>64</v>
      </c>
      <c r="E49" s="22" t="s">
        <v>64</v>
      </c>
      <c r="F49" s="22" t="s">
        <v>64</v>
      </c>
      <c r="G49" s="22" t="s">
        <v>64</v>
      </c>
    </row>
    <row r="50" spans="1:9" ht="30.75">
      <c r="A50" s="19" t="s">
        <v>73</v>
      </c>
      <c r="B50" s="23">
        <f>MIN(B45:E45)</f>
        <v>9725</v>
      </c>
      <c r="C50" s="22" t="s">
        <v>64</v>
      </c>
      <c r="D50" s="22" t="s">
        <v>64</v>
      </c>
      <c r="E50" s="22" t="s">
        <v>64</v>
      </c>
      <c r="F50" s="22" t="s">
        <v>64</v>
      </c>
      <c r="G50" s="22" t="s">
        <v>64</v>
      </c>
    </row>
    <row r="52" spans="1:9" ht="20.25">
      <c r="A52" s="28" t="s">
        <v>74</v>
      </c>
      <c r="B52" s="28"/>
      <c r="C52" s="28"/>
      <c r="D52" s="28"/>
      <c r="E52" s="28"/>
      <c r="F52" s="28"/>
      <c r="G52" s="28"/>
      <c r="H52" s="28"/>
      <c r="I52" s="28"/>
    </row>
    <row r="53" spans="1:9" ht="20.25">
      <c r="A53" s="29" t="s">
        <v>75</v>
      </c>
      <c r="B53" s="29"/>
      <c r="C53" s="29"/>
      <c r="D53" s="29"/>
      <c r="E53" s="29"/>
      <c r="F53" s="29"/>
      <c r="G53" s="29"/>
      <c r="H53" s="29"/>
      <c r="I53" s="29"/>
    </row>
    <row r="54" spans="1:9">
      <c r="A54" s="30" t="s">
        <v>76</v>
      </c>
      <c r="B54" s="30" t="s">
        <v>77</v>
      </c>
      <c r="C54" s="30" t="s">
        <v>78</v>
      </c>
      <c r="D54" s="30" t="s">
        <v>79</v>
      </c>
      <c r="E54" s="30" t="s">
        <v>80</v>
      </c>
      <c r="F54" s="30" t="s">
        <v>81</v>
      </c>
      <c r="G54" s="30" t="s">
        <v>82</v>
      </c>
      <c r="H54" s="30" t="s">
        <v>83</v>
      </c>
      <c r="I54" s="30" t="s">
        <v>84</v>
      </c>
    </row>
    <row r="55" spans="1:9">
      <c r="A55" s="27">
        <v>1013</v>
      </c>
      <c r="B55" s="27" t="s">
        <v>85</v>
      </c>
      <c r="C55" s="27">
        <v>300</v>
      </c>
      <c r="D55" s="27">
        <v>75</v>
      </c>
      <c r="E55" s="27">
        <v>405</v>
      </c>
      <c r="F55" s="27">
        <f>SUM(C55:E55)</f>
        <v>780</v>
      </c>
      <c r="G55" s="27">
        <v>1000</v>
      </c>
      <c r="H55" s="27" t="str">
        <f>IF(F55&lt;=G55, "Sí", "No")</f>
        <v>Sí</v>
      </c>
      <c r="I55" s="27">
        <f>AVERAGE(C55:E55)</f>
        <v>260</v>
      </c>
    </row>
    <row r="56" spans="1:9">
      <c r="A56" s="27">
        <v>2121</v>
      </c>
      <c r="B56" s="27" t="s">
        <v>86</v>
      </c>
      <c r="C56" s="27">
        <v>562</v>
      </c>
      <c r="D56" s="27">
        <v>210</v>
      </c>
      <c r="E56" s="27" t="s">
        <v>87</v>
      </c>
      <c r="F56" s="27">
        <f t="shared" ref="F56:F58" si="11">SUM(C56:E56)</f>
        <v>772</v>
      </c>
      <c r="G56" s="27">
        <v>750</v>
      </c>
      <c r="H56" s="27" t="str">
        <f t="shared" ref="H56:H58" si="12">IF(F56&lt;=G56, "Sí", "No")</f>
        <v>No</v>
      </c>
      <c r="I56" s="27">
        <f t="shared" ref="I56:I58" si="13">AVERAGE(C56:E56)</f>
        <v>386</v>
      </c>
    </row>
    <row r="57" spans="1:9">
      <c r="A57" s="27">
        <v>2655</v>
      </c>
      <c r="B57" s="27" t="s">
        <v>88</v>
      </c>
      <c r="C57" s="27">
        <v>93</v>
      </c>
      <c r="D57" s="27">
        <v>0</v>
      </c>
      <c r="E57" s="27" t="s">
        <v>87</v>
      </c>
      <c r="F57" s="27">
        <f t="shared" si="11"/>
        <v>93</v>
      </c>
      <c r="G57" s="27">
        <v>40</v>
      </c>
      <c r="H57" s="27" t="str">
        <f t="shared" si="12"/>
        <v>No</v>
      </c>
      <c r="I57" s="27">
        <f t="shared" si="13"/>
        <v>46.5</v>
      </c>
    </row>
    <row r="58" spans="1:9">
      <c r="A58" s="27">
        <v>1052</v>
      </c>
      <c r="B58" s="27" t="s">
        <v>89</v>
      </c>
      <c r="C58" s="27">
        <v>24</v>
      </c>
      <c r="D58" s="27">
        <v>15</v>
      </c>
      <c r="E58" s="27" t="s">
        <v>87</v>
      </c>
      <c r="F58" s="27">
        <f t="shared" si="11"/>
        <v>39</v>
      </c>
      <c r="G58" s="27">
        <v>220</v>
      </c>
      <c r="H58" s="27" t="str">
        <f t="shared" si="12"/>
        <v>Sí</v>
      </c>
      <c r="I58" s="27">
        <f t="shared" si="13"/>
        <v>19.5</v>
      </c>
    </row>
    <row r="59" spans="1:9">
      <c r="A59" s="27" t="s">
        <v>81</v>
      </c>
      <c r="B59" s="27" t="s">
        <v>87</v>
      </c>
      <c r="C59" s="27">
        <f>SUM(C55:C58)</f>
        <v>979</v>
      </c>
      <c r="D59" s="27">
        <f t="shared" ref="D59:E59" si="14">SUM(D55:D58)</f>
        <v>300</v>
      </c>
      <c r="E59" s="27">
        <f t="shared" si="14"/>
        <v>405</v>
      </c>
      <c r="F59" s="27" t="s">
        <v>87</v>
      </c>
      <c r="G59" s="27" t="s">
        <v>87</v>
      </c>
      <c r="H59" s="27" t="s">
        <v>87</v>
      </c>
      <c r="I59" s="27" t="s">
        <v>87</v>
      </c>
    </row>
  </sheetData>
  <mergeCells count="7">
    <mergeCell ref="A32:G32"/>
    <mergeCell ref="A33:G33"/>
    <mergeCell ref="A52:I52"/>
    <mergeCell ref="A53:I53"/>
    <mergeCell ref="A1:F1"/>
    <mergeCell ref="A8:G8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2023-09-04T22:24:59Z</dcterms:created>
  <dcterms:modified xsi:type="dcterms:W3CDTF">2023-09-05T01:15:20Z</dcterms:modified>
  <cp:category/>
  <cp:contentStatus/>
</cp:coreProperties>
</file>